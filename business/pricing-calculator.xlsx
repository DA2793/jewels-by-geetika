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ujadiv\Desktop\Team\Automations\JBG\jewels-by-geetika\business\"/>
    </mc:Choice>
  </mc:AlternateContent>
  <xr:revisionPtr revIDLastSave="0" documentId="13_ncr:1_{588D0974-EB45-4BB3-95B6-F670995C47BB}" xr6:coauthVersionLast="47" xr6:coauthVersionMax="47" xr10:uidLastSave="{00000000-0000-0000-0000-000000000000}"/>
  <bookViews>
    <workbookView xWindow="28680" yWindow="-120" windowWidth="38640" windowHeight="21120" xr2:uid="{3EA1E2F3-88D9-406C-AEBC-3B66D1D0E7C6}"/>
  </bookViews>
  <sheets>
    <sheet name="pricing-calculat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1" l="1"/>
  <c r="L24" i="1" s="1"/>
  <c r="E24" i="1"/>
  <c r="E23" i="1"/>
  <c r="G23" i="1" s="1"/>
  <c r="E22" i="1"/>
  <c r="G22" i="1" s="1"/>
  <c r="E21" i="1"/>
  <c r="G21" i="1" s="1"/>
  <c r="E20" i="1"/>
  <c r="G20" i="1" s="1"/>
  <c r="E19" i="1"/>
  <c r="G19" i="1" s="1"/>
  <c r="E18" i="1"/>
  <c r="G18" i="1" s="1"/>
  <c r="E5" i="1"/>
  <c r="G5" i="1" s="1"/>
  <c r="E9" i="1"/>
  <c r="G9" i="1" s="1"/>
  <c r="E6" i="1"/>
  <c r="G6" i="1" s="1"/>
  <c r="E4" i="1"/>
  <c r="G4" i="1" s="1"/>
  <c r="E8" i="1"/>
  <c r="G8" i="1" s="1"/>
  <c r="E11" i="1"/>
  <c r="G11" i="1" s="1"/>
  <c r="E15" i="1"/>
  <c r="G15" i="1" s="1"/>
  <c r="E14" i="1"/>
  <c r="G14" i="1" s="1"/>
  <c r="E3" i="1"/>
  <c r="G3" i="1" s="1"/>
  <c r="E2" i="1"/>
  <c r="G2" i="1" s="1"/>
  <c r="E10" i="1"/>
  <c r="G10" i="1" s="1"/>
  <c r="E13" i="1"/>
  <c r="G13" i="1" s="1"/>
  <c r="E12" i="1"/>
  <c r="G12" i="1" s="1"/>
  <c r="E17" i="1"/>
  <c r="G17" i="1" s="1"/>
  <c r="E16" i="1"/>
  <c r="G16" i="1" s="1"/>
  <c r="E7" i="1"/>
  <c r="G7" i="1" s="1"/>
  <c r="H24" i="1" l="1"/>
  <c r="I24" i="1" s="1"/>
  <c r="J24" i="1" s="1"/>
  <c r="K24" i="1" s="1"/>
  <c r="L23" i="1"/>
  <c r="H23" i="1"/>
  <c r="I23" i="1" s="1"/>
  <c r="J23" i="1" s="1"/>
  <c r="K23" i="1" s="1"/>
  <c r="L22" i="1"/>
  <c r="H22" i="1"/>
  <c r="I22" i="1" s="1"/>
  <c r="J22" i="1" s="1"/>
  <c r="K22" i="1" s="1"/>
  <c r="L21" i="1"/>
  <c r="H21" i="1"/>
  <c r="I21" i="1" s="1"/>
  <c r="J21" i="1" s="1"/>
  <c r="K21" i="1" s="1"/>
  <c r="L20" i="1"/>
  <c r="H20" i="1"/>
  <c r="I20" i="1" s="1"/>
  <c r="J20" i="1" s="1"/>
  <c r="K20" i="1" s="1"/>
  <c r="L19" i="1"/>
  <c r="H19" i="1"/>
  <c r="I19" i="1" s="1"/>
  <c r="J19" i="1" s="1"/>
  <c r="K19" i="1" s="1"/>
  <c r="L18" i="1"/>
  <c r="H18" i="1"/>
  <c r="I18" i="1" s="1"/>
  <c r="J18" i="1" s="1"/>
  <c r="K18" i="1" s="1"/>
  <c r="L5" i="1"/>
  <c r="H5" i="1"/>
  <c r="I5" i="1" s="1"/>
  <c r="J5" i="1" s="1"/>
  <c r="K5" i="1" s="1"/>
  <c r="L9" i="1"/>
  <c r="H9" i="1"/>
  <c r="I9" i="1" s="1"/>
  <c r="J9" i="1" s="1"/>
  <c r="K9" i="1" s="1"/>
  <c r="L6" i="1"/>
  <c r="H6" i="1"/>
  <c r="I6" i="1" s="1"/>
  <c r="J6" i="1" s="1"/>
  <c r="K6" i="1" s="1"/>
  <c r="L4" i="1"/>
  <c r="H4" i="1"/>
  <c r="I4" i="1" s="1"/>
  <c r="J4" i="1" s="1"/>
  <c r="K4" i="1" s="1"/>
  <c r="L8" i="1"/>
  <c r="H8" i="1"/>
  <c r="I8" i="1" s="1"/>
  <c r="J8" i="1" s="1"/>
  <c r="K8" i="1" s="1"/>
  <c r="L11" i="1"/>
  <c r="H11" i="1"/>
  <c r="I11" i="1" s="1"/>
  <c r="J11" i="1" s="1"/>
  <c r="K11" i="1" s="1"/>
  <c r="L15" i="1"/>
  <c r="H15" i="1"/>
  <c r="I15" i="1" s="1"/>
  <c r="J15" i="1" s="1"/>
  <c r="K15" i="1" s="1"/>
  <c r="L14" i="1"/>
  <c r="H14" i="1"/>
  <c r="I14" i="1" s="1"/>
  <c r="J14" i="1" s="1"/>
  <c r="K14" i="1" s="1"/>
  <c r="L3" i="1"/>
  <c r="H3" i="1"/>
  <c r="I3" i="1" s="1"/>
  <c r="J3" i="1" s="1"/>
  <c r="K3" i="1" s="1"/>
  <c r="L2" i="1"/>
  <c r="H2" i="1"/>
  <c r="I2" i="1" s="1"/>
  <c r="J2" i="1" s="1"/>
  <c r="K2" i="1" s="1"/>
  <c r="L10" i="1"/>
  <c r="H10" i="1"/>
  <c r="I10" i="1" s="1"/>
  <c r="J10" i="1" s="1"/>
  <c r="K10" i="1" s="1"/>
  <c r="L13" i="1"/>
  <c r="H13" i="1"/>
  <c r="I13" i="1" s="1"/>
  <c r="J13" i="1" s="1"/>
  <c r="K13" i="1" s="1"/>
  <c r="H12" i="1"/>
  <c r="I12" i="1" s="1"/>
  <c r="J12" i="1" s="1"/>
  <c r="K12" i="1" s="1"/>
  <c r="L12" i="1"/>
  <c r="L17" i="1"/>
  <c r="H17" i="1"/>
  <c r="I17" i="1" s="1"/>
  <c r="J17" i="1" s="1"/>
  <c r="K17" i="1" s="1"/>
  <c r="L7" i="1"/>
  <c r="H7" i="1"/>
  <c r="I7" i="1" s="1"/>
  <c r="J7" i="1" s="1"/>
  <c r="K7" i="1" s="1"/>
  <c r="L16" i="1"/>
  <c r="H16" i="1"/>
  <c r="I16" i="1" s="1"/>
  <c r="J16" i="1" s="1"/>
  <c r="K16" i="1" s="1"/>
</calcChain>
</file>

<file path=xl/sharedStrings.xml><?xml version="1.0" encoding="utf-8"?>
<sst xmlns="http://schemas.openxmlformats.org/spreadsheetml/2006/main" count="35" uniqueCount="35">
  <si>
    <t>Product Name</t>
  </si>
  <si>
    <t>Markup (x)</t>
  </si>
  <si>
    <t>Margin %</t>
  </si>
  <si>
    <t>Price Point (rounded)</t>
  </si>
  <si>
    <t>Supplier Cost</t>
  </si>
  <si>
    <t>Packaging Cost</t>
  </si>
  <si>
    <t>Shipping Cost</t>
  </si>
  <si>
    <t>Total Cost</t>
  </si>
  <si>
    <t>Selling Price</t>
  </si>
  <si>
    <t>Gateway Fee 2%</t>
  </si>
  <si>
    <t>Net Revenue</t>
  </si>
  <si>
    <t>Kaveri</t>
  </si>
  <si>
    <t>Raahi</t>
  </si>
  <si>
    <t>Saanjh</t>
  </si>
  <si>
    <t>Adaa</t>
  </si>
  <si>
    <t>Ruhani</t>
  </si>
  <si>
    <t>Kanak</t>
  </si>
  <si>
    <t>Virasat</t>
  </si>
  <si>
    <t>Sunehri</t>
  </si>
  <si>
    <t>Antara</t>
  </si>
  <si>
    <t>Chandni</t>
  </si>
  <si>
    <t>Rajsi</t>
  </si>
  <si>
    <t>Bella</t>
  </si>
  <si>
    <t>Blossom</t>
  </si>
  <si>
    <t>Grace</t>
  </si>
  <si>
    <t>Ziya</t>
  </si>
  <si>
    <t>Iris</t>
  </si>
  <si>
    <t>Golden Lobster</t>
  </si>
  <si>
    <t>Ideal Profit</t>
  </si>
  <si>
    <t>Dove</t>
  </si>
  <si>
    <t>Trinity</t>
  </si>
  <si>
    <t>Halo</t>
  </si>
  <si>
    <t>Sundrop</t>
  </si>
  <si>
    <t>Evergreen</t>
  </si>
  <si>
    <t>Loveknot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</si>
</sst>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CD7B8-8219-4BAB-B946-0AD4DC2CA2E3}">
  <dimension ref="A1:L24"/>
  <sheetViews>
    <sheetView tabSelected="1" workbookViewId="0">
      <selection activeCell="B24" sqref="B24"/>
    </sheetView>
  </sheetViews>
  <sheetFormatPr defaultRowHeight="14.4" x14ac:dyDescent="0.3"/>
  <cols>
    <col min="1" max="1" width="13.44140625" bestFit="1" customWidth="1"/>
    <col min="2" max="2" width="16.5546875" bestFit="1" customWidth="1"/>
    <col min="3" max="3" width="18.44140625" bestFit="1" customWidth="1"/>
    <col min="4" max="4" width="20.44140625" bestFit="1" customWidth="1"/>
    <col min="5" max="5" width="13.77734375" bestFit="1" customWidth="1"/>
    <col min="6" max="6" width="10.109375" bestFit="1" customWidth="1"/>
    <col min="7" max="7" width="15.6640625" bestFit="1" customWidth="1"/>
    <col min="8" max="8" width="18.88671875" bestFit="1" customWidth="1"/>
    <col min="9" max="9" width="15.6640625" bestFit="1" customWidth="1"/>
    <col min="10" max="10" width="10.5546875" bestFit="1" customWidth="1"/>
    <col min="12" max="12" width="19.44140625" bestFit="1" customWidth="1"/>
  </cols>
  <sheetData>
    <row r="1" spans="1:12" x14ac:dyDescent="0.3">
      <c r="A1" s="2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1</v>
      </c>
      <c r="G1" s="2" t="s">
        <v>8</v>
      </c>
      <c r="H1" s="2" t="s">
        <v>9</v>
      </c>
      <c r="I1" s="2" t="s">
        <v>10</v>
      </c>
      <c r="J1" s="2" t="s">
        <v>28</v>
      </c>
      <c r="K1" s="2" t="s">
        <v>2</v>
      </c>
      <c r="L1" s="2" t="s">
        <v>3</v>
      </c>
    </row>
    <row r="2" spans="1:12" x14ac:dyDescent="0.3">
      <c r="A2" t="s">
        <v>17</v>
      </c>
      <c r="B2">
        <v>71</v>
      </c>
      <c r="C2">
        <v>50</v>
      </c>
      <c r="D2">
        <v>150</v>
      </c>
      <c r="E2">
        <f t="shared" ref="E2:E17" si="0">B2+C2+D2</f>
        <v>271</v>
      </c>
      <c r="F2">
        <v>3</v>
      </c>
      <c r="G2">
        <f t="shared" ref="G2:G17" si="1">ROUNDUP((E2*F2)/500,0)*500-1</f>
        <v>999</v>
      </c>
      <c r="H2">
        <f t="shared" ref="H2:H18" si="2">G2*2%</f>
        <v>19.98</v>
      </c>
      <c r="I2">
        <f t="shared" ref="I2:I17" si="3">G2-H2</f>
        <v>979.02</v>
      </c>
      <c r="J2">
        <f t="shared" ref="J2:J17" si="4">I2-E2</f>
        <v>708.02</v>
      </c>
      <c r="K2" s="1">
        <f t="shared" ref="K2:K17" si="5">J2/G2</f>
        <v>0.70872872872872872</v>
      </c>
      <c r="L2" t="str">
        <f t="shared" ref="L2:L17" si="6">"₹"&amp;TEXT(G2,"#,##0")</f>
        <v>₹999</v>
      </c>
    </row>
    <row r="3" spans="1:12" x14ac:dyDescent="0.3">
      <c r="A3" t="s">
        <v>18</v>
      </c>
      <c r="B3">
        <v>110</v>
      </c>
      <c r="C3">
        <v>50</v>
      </c>
      <c r="D3">
        <v>150</v>
      </c>
      <c r="E3">
        <f t="shared" si="0"/>
        <v>310</v>
      </c>
      <c r="F3">
        <v>3</v>
      </c>
      <c r="G3">
        <f t="shared" si="1"/>
        <v>999</v>
      </c>
      <c r="H3">
        <f t="shared" si="2"/>
        <v>19.98</v>
      </c>
      <c r="I3">
        <f t="shared" si="3"/>
        <v>979.02</v>
      </c>
      <c r="J3">
        <f t="shared" si="4"/>
        <v>669.02</v>
      </c>
      <c r="K3" s="1">
        <f t="shared" si="5"/>
        <v>0.66968968968968967</v>
      </c>
      <c r="L3" t="str">
        <f t="shared" si="6"/>
        <v>₹999</v>
      </c>
    </row>
    <row r="4" spans="1:12" x14ac:dyDescent="0.3">
      <c r="A4" t="s">
        <v>23</v>
      </c>
      <c r="B4">
        <v>145</v>
      </c>
      <c r="C4">
        <v>50</v>
      </c>
      <c r="D4">
        <v>150</v>
      </c>
      <c r="E4">
        <f t="shared" si="0"/>
        <v>345</v>
      </c>
      <c r="F4">
        <v>3</v>
      </c>
      <c r="G4">
        <f t="shared" si="1"/>
        <v>1499</v>
      </c>
      <c r="H4">
        <f t="shared" si="2"/>
        <v>29.98</v>
      </c>
      <c r="I4">
        <f t="shared" si="3"/>
        <v>1469.02</v>
      </c>
      <c r="J4">
        <f t="shared" si="4"/>
        <v>1124.02</v>
      </c>
      <c r="K4" s="1">
        <f t="shared" si="5"/>
        <v>0.74984656437625086</v>
      </c>
      <c r="L4" t="str">
        <f t="shared" si="6"/>
        <v>₹1,499</v>
      </c>
    </row>
    <row r="5" spans="1:12" x14ac:dyDescent="0.3">
      <c r="A5" t="s">
        <v>24</v>
      </c>
      <c r="B5">
        <v>425</v>
      </c>
      <c r="C5">
        <v>50</v>
      </c>
      <c r="D5">
        <v>150</v>
      </c>
      <c r="E5">
        <f t="shared" si="0"/>
        <v>625</v>
      </c>
      <c r="F5">
        <v>2</v>
      </c>
      <c r="G5">
        <f t="shared" si="1"/>
        <v>1499</v>
      </c>
      <c r="H5">
        <f t="shared" si="2"/>
        <v>29.98</v>
      </c>
      <c r="I5">
        <f t="shared" si="3"/>
        <v>1469.02</v>
      </c>
      <c r="J5">
        <f t="shared" si="4"/>
        <v>844.02</v>
      </c>
      <c r="K5" s="1">
        <f t="shared" si="5"/>
        <v>0.56305537024683117</v>
      </c>
      <c r="L5" t="str">
        <f t="shared" si="6"/>
        <v>₹1,499</v>
      </c>
    </row>
    <row r="6" spans="1:12" x14ac:dyDescent="0.3">
      <c r="A6" t="s">
        <v>25</v>
      </c>
      <c r="B6">
        <v>380</v>
      </c>
      <c r="C6">
        <v>50</v>
      </c>
      <c r="D6">
        <v>150</v>
      </c>
      <c r="E6">
        <f t="shared" si="0"/>
        <v>580</v>
      </c>
      <c r="F6">
        <v>2.5</v>
      </c>
      <c r="G6">
        <f t="shared" si="1"/>
        <v>1499</v>
      </c>
      <c r="H6">
        <f t="shared" si="2"/>
        <v>29.98</v>
      </c>
      <c r="I6">
        <f t="shared" si="3"/>
        <v>1469.02</v>
      </c>
      <c r="J6">
        <f t="shared" si="4"/>
        <v>889.02</v>
      </c>
      <c r="K6" s="1">
        <f t="shared" si="5"/>
        <v>0.59307538358905931</v>
      </c>
      <c r="L6" t="str">
        <f t="shared" si="6"/>
        <v>₹1,499</v>
      </c>
    </row>
    <row r="7" spans="1:12" x14ac:dyDescent="0.3">
      <c r="A7" t="s">
        <v>11</v>
      </c>
      <c r="B7">
        <v>450</v>
      </c>
      <c r="C7">
        <v>50</v>
      </c>
      <c r="D7">
        <v>150</v>
      </c>
      <c r="E7">
        <f t="shared" si="0"/>
        <v>650</v>
      </c>
      <c r="F7">
        <v>3</v>
      </c>
      <c r="G7">
        <f t="shared" si="1"/>
        <v>1999</v>
      </c>
      <c r="H7">
        <f t="shared" si="2"/>
        <v>39.980000000000004</v>
      </c>
      <c r="I7">
        <f t="shared" si="3"/>
        <v>1959.02</v>
      </c>
      <c r="J7">
        <f t="shared" si="4"/>
        <v>1309.02</v>
      </c>
      <c r="K7" s="1">
        <f t="shared" si="5"/>
        <v>0.65483741870935464</v>
      </c>
      <c r="L7" t="str">
        <f t="shared" si="6"/>
        <v>₹1,999</v>
      </c>
    </row>
    <row r="8" spans="1:12" x14ac:dyDescent="0.3">
      <c r="A8" t="s">
        <v>22</v>
      </c>
      <c r="B8">
        <v>456</v>
      </c>
      <c r="C8">
        <v>50</v>
      </c>
      <c r="D8">
        <v>150</v>
      </c>
      <c r="E8">
        <f t="shared" si="0"/>
        <v>656</v>
      </c>
      <c r="F8">
        <v>3</v>
      </c>
      <c r="G8">
        <f t="shared" si="1"/>
        <v>1999</v>
      </c>
      <c r="H8">
        <f t="shared" si="2"/>
        <v>39.980000000000004</v>
      </c>
      <c r="I8">
        <f t="shared" si="3"/>
        <v>1959.02</v>
      </c>
      <c r="J8">
        <f t="shared" si="4"/>
        <v>1303.02</v>
      </c>
      <c r="K8" s="1">
        <f t="shared" si="5"/>
        <v>0.65183591795897944</v>
      </c>
      <c r="L8" t="str">
        <f t="shared" si="6"/>
        <v>₹1,999</v>
      </c>
    </row>
    <row r="9" spans="1:12" x14ac:dyDescent="0.3">
      <c r="A9" t="s">
        <v>26</v>
      </c>
      <c r="B9">
        <v>480</v>
      </c>
      <c r="C9">
        <v>50</v>
      </c>
      <c r="D9">
        <v>150</v>
      </c>
      <c r="E9">
        <f t="shared" si="0"/>
        <v>680</v>
      </c>
      <c r="F9">
        <v>2.5</v>
      </c>
      <c r="G9">
        <f t="shared" si="1"/>
        <v>1999</v>
      </c>
      <c r="H9">
        <f t="shared" si="2"/>
        <v>39.980000000000004</v>
      </c>
      <c r="I9">
        <f t="shared" si="3"/>
        <v>1959.02</v>
      </c>
      <c r="J9">
        <f t="shared" si="4"/>
        <v>1279.02</v>
      </c>
      <c r="K9" s="1">
        <f t="shared" si="5"/>
        <v>0.63982991495747876</v>
      </c>
      <c r="L9" t="str">
        <f t="shared" si="6"/>
        <v>₹1,999</v>
      </c>
    </row>
    <row r="10" spans="1:12" x14ac:dyDescent="0.3">
      <c r="A10" t="s">
        <v>16</v>
      </c>
      <c r="B10">
        <v>472</v>
      </c>
      <c r="C10">
        <v>50</v>
      </c>
      <c r="D10">
        <v>150</v>
      </c>
      <c r="E10">
        <f t="shared" si="0"/>
        <v>672</v>
      </c>
      <c r="F10">
        <v>3</v>
      </c>
      <c r="G10">
        <f t="shared" si="1"/>
        <v>2499</v>
      </c>
      <c r="H10">
        <f t="shared" si="2"/>
        <v>49.980000000000004</v>
      </c>
      <c r="I10">
        <f t="shared" si="3"/>
        <v>2449.02</v>
      </c>
      <c r="J10">
        <f t="shared" si="4"/>
        <v>1777.02</v>
      </c>
      <c r="K10" s="1">
        <f t="shared" si="5"/>
        <v>0.71109243697478985</v>
      </c>
      <c r="L10" t="str">
        <f t="shared" si="6"/>
        <v>₹2,499</v>
      </c>
    </row>
    <row r="11" spans="1:12" x14ac:dyDescent="0.3">
      <c r="A11" t="s">
        <v>21</v>
      </c>
      <c r="B11">
        <v>654</v>
      </c>
      <c r="C11">
        <v>50</v>
      </c>
      <c r="D11">
        <v>150</v>
      </c>
      <c r="E11">
        <f t="shared" si="0"/>
        <v>854</v>
      </c>
      <c r="F11">
        <v>3</v>
      </c>
      <c r="G11">
        <f t="shared" si="1"/>
        <v>2999</v>
      </c>
      <c r="H11">
        <f t="shared" si="2"/>
        <v>59.980000000000004</v>
      </c>
      <c r="I11">
        <f t="shared" si="3"/>
        <v>2939.02</v>
      </c>
      <c r="J11">
        <f t="shared" si="4"/>
        <v>2085.02</v>
      </c>
      <c r="K11" s="1">
        <f t="shared" si="5"/>
        <v>0.69523841280426812</v>
      </c>
      <c r="L11" t="str">
        <f t="shared" si="6"/>
        <v>₹2,999</v>
      </c>
    </row>
    <row r="12" spans="1:12" x14ac:dyDescent="0.3">
      <c r="A12" t="s">
        <v>14</v>
      </c>
      <c r="B12">
        <v>1134</v>
      </c>
      <c r="C12">
        <v>30</v>
      </c>
      <c r="D12">
        <v>150</v>
      </c>
      <c r="E12">
        <f t="shared" si="0"/>
        <v>1314</v>
      </c>
      <c r="F12">
        <v>3</v>
      </c>
      <c r="G12">
        <f t="shared" si="1"/>
        <v>3999</v>
      </c>
      <c r="H12">
        <f t="shared" si="2"/>
        <v>79.98</v>
      </c>
      <c r="I12">
        <f t="shared" si="3"/>
        <v>3919.02</v>
      </c>
      <c r="J12">
        <f t="shared" si="4"/>
        <v>2605.02</v>
      </c>
      <c r="K12" s="1">
        <f t="shared" si="5"/>
        <v>0.65141785446361589</v>
      </c>
      <c r="L12" t="str">
        <f t="shared" si="6"/>
        <v>₹3,999</v>
      </c>
    </row>
    <row r="13" spans="1:12" x14ac:dyDescent="0.3">
      <c r="A13" t="s">
        <v>15</v>
      </c>
      <c r="B13">
        <v>2100</v>
      </c>
      <c r="C13">
        <v>30</v>
      </c>
      <c r="D13">
        <v>150</v>
      </c>
      <c r="E13">
        <f t="shared" si="0"/>
        <v>2280</v>
      </c>
      <c r="F13">
        <v>1.75</v>
      </c>
      <c r="G13">
        <f t="shared" si="1"/>
        <v>3999</v>
      </c>
      <c r="H13">
        <f t="shared" si="2"/>
        <v>79.98</v>
      </c>
      <c r="I13">
        <f t="shared" si="3"/>
        <v>3919.02</v>
      </c>
      <c r="J13">
        <f t="shared" si="4"/>
        <v>1639.02</v>
      </c>
      <c r="K13" s="1">
        <f t="shared" si="5"/>
        <v>0.4098574643660915</v>
      </c>
      <c r="L13" t="str">
        <f t="shared" si="6"/>
        <v>₹3,999</v>
      </c>
    </row>
    <row r="14" spans="1:12" x14ac:dyDescent="0.3">
      <c r="A14" t="s">
        <v>19</v>
      </c>
      <c r="B14">
        <v>1070</v>
      </c>
      <c r="C14">
        <v>50</v>
      </c>
      <c r="D14">
        <v>150</v>
      </c>
      <c r="E14">
        <f t="shared" si="0"/>
        <v>1270</v>
      </c>
      <c r="F14">
        <v>3</v>
      </c>
      <c r="G14">
        <f t="shared" si="1"/>
        <v>3999</v>
      </c>
      <c r="H14">
        <f t="shared" si="2"/>
        <v>79.98</v>
      </c>
      <c r="I14">
        <f t="shared" si="3"/>
        <v>3919.02</v>
      </c>
      <c r="J14">
        <f t="shared" si="4"/>
        <v>2649.02</v>
      </c>
      <c r="K14" s="1">
        <f t="shared" si="5"/>
        <v>0.66242060515128787</v>
      </c>
      <c r="L14" t="str">
        <f t="shared" si="6"/>
        <v>₹3,999</v>
      </c>
    </row>
    <row r="15" spans="1:12" x14ac:dyDescent="0.3">
      <c r="A15" t="s">
        <v>20</v>
      </c>
      <c r="B15">
        <v>1069</v>
      </c>
      <c r="C15">
        <v>50</v>
      </c>
      <c r="D15">
        <v>150</v>
      </c>
      <c r="E15">
        <f t="shared" si="0"/>
        <v>1269</v>
      </c>
      <c r="F15">
        <v>3</v>
      </c>
      <c r="G15">
        <f t="shared" si="1"/>
        <v>3999</v>
      </c>
      <c r="H15">
        <f t="shared" si="2"/>
        <v>79.98</v>
      </c>
      <c r="I15">
        <f t="shared" si="3"/>
        <v>3919.02</v>
      </c>
      <c r="J15">
        <f t="shared" si="4"/>
        <v>2650.02</v>
      </c>
      <c r="K15" s="1">
        <f t="shared" si="5"/>
        <v>0.66267066766691674</v>
      </c>
      <c r="L15" t="str">
        <f t="shared" si="6"/>
        <v>₹3,999</v>
      </c>
    </row>
    <row r="16" spans="1:12" x14ac:dyDescent="0.3">
      <c r="A16" t="s">
        <v>12</v>
      </c>
      <c r="B16">
        <v>1240</v>
      </c>
      <c r="C16">
        <v>50</v>
      </c>
      <c r="D16">
        <v>150</v>
      </c>
      <c r="E16">
        <f t="shared" si="0"/>
        <v>1440</v>
      </c>
      <c r="F16">
        <v>3</v>
      </c>
      <c r="G16">
        <f t="shared" si="1"/>
        <v>4499</v>
      </c>
      <c r="H16">
        <f t="shared" si="2"/>
        <v>89.98</v>
      </c>
      <c r="I16">
        <f t="shared" si="3"/>
        <v>4409.0200000000004</v>
      </c>
      <c r="J16">
        <f t="shared" si="4"/>
        <v>2969.0200000000004</v>
      </c>
      <c r="K16" s="1">
        <f t="shared" si="5"/>
        <v>0.65992887308290737</v>
      </c>
      <c r="L16" t="str">
        <f t="shared" si="6"/>
        <v>₹4,499</v>
      </c>
    </row>
    <row r="17" spans="1:12" x14ac:dyDescent="0.3">
      <c r="A17" t="s">
        <v>13</v>
      </c>
      <c r="B17">
        <v>1495</v>
      </c>
      <c r="C17">
        <v>50</v>
      </c>
      <c r="D17">
        <v>150</v>
      </c>
      <c r="E17">
        <f t="shared" si="0"/>
        <v>1695</v>
      </c>
      <c r="F17">
        <v>3</v>
      </c>
      <c r="G17">
        <f t="shared" si="1"/>
        <v>5499</v>
      </c>
      <c r="H17">
        <f t="shared" si="2"/>
        <v>109.98</v>
      </c>
      <c r="I17">
        <f t="shared" si="3"/>
        <v>5389.02</v>
      </c>
      <c r="J17">
        <f t="shared" si="4"/>
        <v>3694.0200000000004</v>
      </c>
      <c r="K17" s="1">
        <f t="shared" si="5"/>
        <v>0.67176213857064926</v>
      </c>
      <c r="L17" t="str">
        <f t="shared" si="6"/>
        <v>₹5,499</v>
      </c>
    </row>
    <row r="18" spans="1:12" x14ac:dyDescent="0.3">
      <c r="A18" t="s">
        <v>27</v>
      </c>
      <c r="B18">
        <v>768</v>
      </c>
      <c r="C18">
        <v>50</v>
      </c>
      <c r="D18">
        <v>150</v>
      </c>
      <c r="E18">
        <f t="shared" ref="E18" si="7">B18+C18+D18</f>
        <v>968</v>
      </c>
      <c r="F18">
        <v>3</v>
      </c>
      <c r="G18">
        <f t="shared" ref="G18" si="8">ROUNDUP((E18*F18)/500,0)*500-1</f>
        <v>2999</v>
      </c>
      <c r="H18">
        <f t="shared" si="2"/>
        <v>59.980000000000004</v>
      </c>
      <c r="I18">
        <f t="shared" ref="I18" si="9">G18-H18</f>
        <v>2939.02</v>
      </c>
      <c r="J18">
        <f t="shared" ref="J18" si="10">I18-E18</f>
        <v>1971.02</v>
      </c>
      <c r="K18" s="1">
        <f t="shared" ref="K18" si="11">J18/G18</f>
        <v>0.65722574191397132</v>
      </c>
      <c r="L18" t="str">
        <f t="shared" ref="L18" si="12">"₹"&amp;TEXT(G18,"#,##0")</f>
        <v>₹2,999</v>
      </c>
    </row>
    <row r="19" spans="1:12" x14ac:dyDescent="0.3">
      <c r="A19" t="s">
        <v>29</v>
      </c>
      <c r="B19">
        <v>450</v>
      </c>
      <c r="C19">
        <v>50</v>
      </c>
      <c r="D19">
        <v>150</v>
      </c>
      <c r="E19">
        <f t="shared" ref="E19" si="13">B19+C19+D19</f>
        <v>650</v>
      </c>
      <c r="F19">
        <v>2</v>
      </c>
      <c r="G19">
        <f t="shared" ref="G19" si="14">ROUNDUP((E19*F19)/500,0)*500-1</f>
        <v>1499</v>
      </c>
      <c r="H19">
        <f t="shared" ref="H19" si="15">G19*2%</f>
        <v>29.98</v>
      </c>
      <c r="I19">
        <f t="shared" ref="I19" si="16">G19-H19</f>
        <v>1469.02</v>
      </c>
      <c r="J19">
        <f t="shared" ref="J19" si="17">I19-E19</f>
        <v>819.02</v>
      </c>
      <c r="K19" s="1">
        <f t="shared" ref="K19" si="18">J19/G19</f>
        <v>0.54637758505670442</v>
      </c>
      <c r="L19" t="str">
        <f t="shared" ref="L19" si="19">"₹"&amp;TEXT(G19,"#,##0")</f>
        <v>₹1,499</v>
      </c>
    </row>
    <row r="20" spans="1:12" x14ac:dyDescent="0.3">
      <c r="A20" t="s">
        <v>30</v>
      </c>
      <c r="B20">
        <v>130</v>
      </c>
      <c r="C20">
        <v>50</v>
      </c>
      <c r="D20">
        <v>150</v>
      </c>
      <c r="E20">
        <f t="shared" ref="E20" si="20">B20+C20+D20</f>
        <v>330</v>
      </c>
      <c r="F20">
        <v>2</v>
      </c>
      <c r="G20">
        <f t="shared" ref="G20" si="21">ROUNDUP((E20*F20)/500,0)*500-1</f>
        <v>999</v>
      </c>
      <c r="H20">
        <f t="shared" ref="H20" si="22">G20*2%</f>
        <v>19.98</v>
      </c>
      <c r="I20">
        <f t="shared" ref="I20" si="23">G20-H20</f>
        <v>979.02</v>
      </c>
      <c r="J20">
        <f t="shared" ref="J20" si="24">I20-E20</f>
        <v>649.02</v>
      </c>
      <c r="K20" s="1">
        <f t="shared" ref="K20" si="25">J20/G20</f>
        <v>0.64966966966966966</v>
      </c>
      <c r="L20" t="str">
        <f t="shared" ref="L20" si="26">"₹"&amp;TEXT(G20,"#,##0")</f>
        <v>₹999</v>
      </c>
    </row>
    <row r="21" spans="1:12" x14ac:dyDescent="0.3">
      <c r="A21" t="s">
        <v>31</v>
      </c>
      <c r="B21">
        <v>145</v>
      </c>
      <c r="C21">
        <v>50</v>
      </c>
      <c r="D21">
        <v>150</v>
      </c>
      <c r="E21">
        <f t="shared" ref="E21" si="27">B21+C21+D21</f>
        <v>345</v>
      </c>
      <c r="F21">
        <v>2</v>
      </c>
      <c r="G21">
        <f t="shared" ref="G21" si="28">ROUNDUP((E21*F21)/500,0)*500-1</f>
        <v>999</v>
      </c>
      <c r="H21">
        <f t="shared" ref="H21" si="29">G21*2%</f>
        <v>19.98</v>
      </c>
      <c r="I21">
        <f t="shared" ref="I21" si="30">G21-H21</f>
        <v>979.02</v>
      </c>
      <c r="J21">
        <f t="shared" ref="J21" si="31">I21-E21</f>
        <v>634.02</v>
      </c>
      <c r="K21" s="1">
        <f t="shared" ref="K21" si="32">J21/G21</f>
        <v>0.63465465465465465</v>
      </c>
      <c r="L21" t="str">
        <f t="shared" ref="L21" si="33">"₹"&amp;TEXT(G21,"#,##0")</f>
        <v>₹999</v>
      </c>
    </row>
    <row r="22" spans="1:12" x14ac:dyDescent="0.3">
      <c r="A22" t="s">
        <v>32</v>
      </c>
      <c r="B22">
        <v>480</v>
      </c>
      <c r="C22">
        <v>50</v>
      </c>
      <c r="D22">
        <v>150</v>
      </c>
      <c r="E22">
        <f t="shared" ref="E22" si="34">B22+C22+D22</f>
        <v>680</v>
      </c>
      <c r="F22">
        <v>2</v>
      </c>
      <c r="G22">
        <f t="shared" ref="G22" si="35">ROUNDUP((E22*F22)/500,0)*500-1</f>
        <v>1499</v>
      </c>
      <c r="H22">
        <f t="shared" ref="H22" si="36">G22*2%</f>
        <v>29.98</v>
      </c>
      <c r="I22">
        <f t="shared" ref="I22" si="37">G22-H22</f>
        <v>1469.02</v>
      </c>
      <c r="J22">
        <f t="shared" ref="J22" si="38">I22-E22</f>
        <v>789.02</v>
      </c>
      <c r="K22" s="1">
        <f t="shared" ref="K22" si="39">J22/G22</f>
        <v>0.52636424282855232</v>
      </c>
      <c r="L22" t="str">
        <f t="shared" ref="L22" si="40">"₹"&amp;TEXT(G22,"#,##0")</f>
        <v>₹1,499</v>
      </c>
    </row>
    <row r="23" spans="1:12" x14ac:dyDescent="0.3">
      <c r="A23" t="s">
        <v>33</v>
      </c>
      <c r="B23">
        <v>130</v>
      </c>
      <c r="C23">
        <v>50</v>
      </c>
      <c r="D23">
        <v>150</v>
      </c>
      <c r="E23">
        <f t="shared" ref="E23" si="41">B23+C23+D23</f>
        <v>330</v>
      </c>
      <c r="F23">
        <v>2</v>
      </c>
      <c r="G23">
        <f t="shared" ref="G23" si="42">ROUNDUP((E23*F23)/500,0)*500-1</f>
        <v>999</v>
      </c>
      <c r="H23">
        <f t="shared" ref="H23" si="43">G23*2%</f>
        <v>19.98</v>
      </c>
      <c r="I23">
        <f t="shared" ref="I23" si="44">G23-H23</f>
        <v>979.02</v>
      </c>
      <c r="J23">
        <f t="shared" ref="J23" si="45">I23-E23</f>
        <v>649.02</v>
      </c>
      <c r="K23" s="1">
        <f t="shared" ref="K23" si="46">J23/G23</f>
        <v>0.64966966966966966</v>
      </c>
      <c r="L23" t="str">
        <f t="shared" ref="L23" si="47">"₹"&amp;TEXT(G23,"#,##0")</f>
        <v>₹999</v>
      </c>
    </row>
    <row r="24" spans="1:12" x14ac:dyDescent="0.3">
      <c r="A24" t="s">
        <v>34</v>
      </c>
      <c r="B24">
        <v>99</v>
      </c>
      <c r="C24">
        <v>50</v>
      </c>
      <c r="D24">
        <v>150</v>
      </c>
      <c r="E24">
        <f t="shared" ref="E24" si="48">B24+C24+D24</f>
        <v>299</v>
      </c>
      <c r="F24">
        <v>2</v>
      </c>
      <c r="G24">
        <f t="shared" ref="G24" si="49">ROUNDUP((E24*F24)/500,0)*500-1</f>
        <v>999</v>
      </c>
      <c r="H24">
        <f t="shared" ref="H24" si="50">G24*2%</f>
        <v>19.98</v>
      </c>
      <c r="I24">
        <f t="shared" ref="I24" si="51">G24-H24</f>
        <v>979.02</v>
      </c>
      <c r="J24">
        <f t="shared" ref="J24" si="52">I24-E24</f>
        <v>680.02</v>
      </c>
      <c r="K24" s="1">
        <f t="shared" ref="K24" si="53">J24/G24</f>
        <v>0.68070070070070066</v>
      </c>
      <c r="L24" t="str">
        <f t="shared" ref="L24" si="54">"₹"&amp;TEXT(G24,"#,##0")</f>
        <v>₹999</v>
      </c>
    </row>
  </sheetData>
  <sortState xmlns:xlrd2="http://schemas.microsoft.com/office/spreadsheetml/2017/richdata2" ref="A2:L17">
    <sortCondition ref="G2:G17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pricing-calculator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Ahuja, Divyansh</dc:creator>
  <cp:lastModifiedBy>Ahuja, Divyansh</cp:lastModifiedBy>
  <dcterms:created xsi:type="dcterms:W3CDTF">2026-05-15T18:39:39Z</dcterms:created>
  <dcterms:modified xsi:type="dcterms:W3CDTF">2026-07-31T05:44:17Z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2026-05-15T18:42:38Z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692a3a70-8589-411c-8149-1a774c8182cc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